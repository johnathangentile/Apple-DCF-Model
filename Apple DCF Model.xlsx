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cca886b60ea2e7/Documents/WORD ASSIGNMENTS/"/>
    </mc:Choice>
  </mc:AlternateContent>
  <xr:revisionPtr revIDLastSave="0" documentId="8_{D20C9087-6B0F-4434-8B11-436AA656BEB2}" xr6:coauthVersionLast="47" xr6:coauthVersionMax="47" xr10:uidLastSave="{00000000-0000-0000-0000-000000000000}"/>
  <bookViews>
    <workbookView xWindow="-120" yWindow="-120" windowWidth="23280" windowHeight="14880" firstSheet="6" activeTab="6" xr2:uid="{6F94434E-565D-431D-82A5-6EE306A9EBF6}"/>
  </bookViews>
  <sheets>
    <sheet name="Dashboard" sheetId="1" r:id="rId1"/>
    <sheet name="Historical Financials" sheetId="2" r:id="rId2"/>
    <sheet name="Assumptions" sheetId="3" r:id="rId3"/>
    <sheet name="Revenue Forecast" sheetId="4" r:id="rId4"/>
    <sheet name="Income Statement Forecast" sheetId="5" r:id="rId5"/>
    <sheet name="Free Cash Flow" sheetId="6" r:id="rId6"/>
    <sheet name="DCF Valuation - Sens. Analysi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" i="7" l="1"/>
  <c r="B10" i="7"/>
  <c r="B20" i="3"/>
  <c r="C7" i="6"/>
  <c r="C6" i="6"/>
  <c r="D6" i="6"/>
  <c r="E6" i="6"/>
  <c r="F6" i="6"/>
  <c r="G6" i="6"/>
  <c r="B6" i="6"/>
  <c r="C5" i="5"/>
  <c r="K8" i="3"/>
  <c r="J8" i="3"/>
  <c r="I8" i="3"/>
  <c r="H8" i="3"/>
  <c r="G8" i="3"/>
  <c r="C7" i="3"/>
  <c r="D7" i="3"/>
  <c r="E7" i="3"/>
  <c r="B7" i="3"/>
  <c r="C6" i="3"/>
  <c r="D6" i="3"/>
  <c r="E6" i="3"/>
  <c r="B6" i="3"/>
  <c r="C4" i="3"/>
  <c r="D4" i="3"/>
  <c r="E4" i="3"/>
  <c r="C5" i="3"/>
  <c r="D5" i="3"/>
  <c r="B5" i="3"/>
  <c r="B4" i="3"/>
  <c r="C3" i="3"/>
  <c r="D3" i="3"/>
  <c r="B3" i="3"/>
  <c r="C2" i="3"/>
  <c r="D2" i="3"/>
  <c r="C20" i="2"/>
  <c r="D20" i="2"/>
  <c r="B20" i="2"/>
  <c r="E20" i="2"/>
  <c r="C19" i="2"/>
  <c r="D19" i="2"/>
  <c r="B19" i="2"/>
  <c r="E19" i="2"/>
  <c r="C18" i="2"/>
  <c r="D18" i="2"/>
  <c r="B18" i="2"/>
  <c r="C17" i="2"/>
  <c r="D17" i="2"/>
  <c r="B17" i="2"/>
  <c r="D16" i="2"/>
  <c r="C16" i="2"/>
  <c r="I8" i="7" l="1"/>
  <c r="I6" i="7"/>
  <c r="I5" i="7"/>
  <c r="I3" i="7"/>
  <c r="C4" i="4"/>
  <c r="G3" i="4"/>
  <c r="F3" i="4"/>
  <c r="E3" i="4"/>
  <c r="D3" i="4"/>
  <c r="C3" i="4"/>
  <c r="K7" i="3"/>
  <c r="G6" i="4" s="1"/>
  <c r="J7" i="3"/>
  <c r="F6" i="4" s="1"/>
  <c r="I7" i="3"/>
  <c r="E6" i="4" s="1"/>
  <c r="H7" i="3"/>
  <c r="D6" i="4" s="1"/>
  <c r="G7" i="3"/>
  <c r="C6" i="4" s="1"/>
  <c r="F7" i="3"/>
  <c r="B6" i="4" s="1"/>
  <c r="K6" i="3"/>
  <c r="G7" i="4" s="1"/>
  <c r="J6" i="3"/>
  <c r="I6" i="3"/>
  <c r="F7" i="4" s="1"/>
  <c r="H6" i="3"/>
  <c r="D7" i="4" s="1"/>
  <c r="G6" i="3"/>
  <c r="C7" i="4" s="1"/>
  <c r="F6" i="3"/>
  <c r="B7" i="4" s="1"/>
  <c r="J5" i="3"/>
  <c r="F5" i="4" s="1"/>
  <c r="F5" i="3"/>
  <c r="B5" i="4" s="1"/>
  <c r="K4" i="3"/>
  <c r="G4" i="4" s="1"/>
  <c r="B2" i="4"/>
  <c r="B2" i="6" s="1"/>
  <c r="B24" i="3"/>
  <c r="B23" i="3"/>
  <c r="B22" i="3"/>
  <c r="F16" i="2"/>
  <c r="F2" i="3" s="1"/>
  <c r="B3" i="4" s="1"/>
  <c r="E5" i="3"/>
  <c r="F20" i="2"/>
  <c r="H5" i="3" s="1"/>
  <c r="D5" i="4" s="1"/>
  <c r="F18" i="2"/>
  <c r="F4" i="3" s="1"/>
  <c r="B4" i="4" s="1"/>
  <c r="F19" i="2"/>
  <c r="E18" i="2"/>
  <c r="E16" i="2"/>
  <c r="E2" i="3" s="1"/>
  <c r="E17" i="2"/>
  <c r="E3" i="3" s="1"/>
  <c r="F17" i="2"/>
  <c r="F3" i="3" s="1"/>
  <c r="I4" i="3" l="1"/>
  <c r="E4" i="4" s="1"/>
  <c r="J4" i="3"/>
  <c r="F4" i="4" s="1"/>
  <c r="K5" i="3"/>
  <c r="G5" i="4" s="1"/>
  <c r="H4" i="3"/>
  <c r="D4" i="4" s="1"/>
  <c r="B5" i="6"/>
  <c r="B4" i="6"/>
  <c r="I5" i="3"/>
  <c r="E5" i="4" s="1"/>
  <c r="C2" i="4"/>
  <c r="C2" i="6" s="1"/>
  <c r="B2" i="5"/>
  <c r="B3" i="5" s="1"/>
  <c r="B4" i="5" s="1"/>
  <c r="B5" i="5" s="1"/>
  <c r="G5" i="3"/>
  <c r="C5" i="4" s="1"/>
  <c r="E7" i="4"/>
  <c r="I2" i="7" l="1"/>
  <c r="C2" i="5"/>
  <c r="C3" i="5" s="1"/>
  <c r="C4" i="5" s="1"/>
  <c r="C4" i="6"/>
  <c r="C5" i="6"/>
  <c r="D2" i="4"/>
  <c r="B6" i="5"/>
  <c r="B7" i="5" s="1"/>
  <c r="B3" i="7" l="1"/>
  <c r="C3" i="7"/>
  <c r="D3" i="7"/>
  <c r="E3" i="7"/>
  <c r="F3" i="7"/>
  <c r="C6" i="5"/>
  <c r="C7" i="5" s="1"/>
  <c r="B8" i="5"/>
  <c r="B9" i="5"/>
  <c r="B10" i="5" s="1"/>
  <c r="B3" i="6" s="1"/>
  <c r="B8" i="6" s="1"/>
  <c r="B2" i="7" s="1"/>
  <c r="D2" i="5"/>
  <c r="D2" i="6"/>
  <c r="E2" i="4"/>
  <c r="C9" i="5" l="1"/>
  <c r="C10" i="5" s="1"/>
  <c r="C3" i="6" s="1"/>
  <c r="C8" i="6" s="1"/>
  <c r="C2" i="7" s="1"/>
  <c r="C4" i="7" s="1"/>
  <c r="C8" i="5"/>
  <c r="B4" i="7"/>
  <c r="E2" i="6"/>
  <c r="E2" i="5"/>
  <c r="F2" i="4"/>
  <c r="D4" i="6"/>
  <c r="D7" i="6"/>
  <c r="D5" i="6"/>
  <c r="D3" i="5"/>
  <c r="D4" i="5" s="1"/>
  <c r="D6" i="5"/>
  <c r="D9" i="5" l="1"/>
  <c r="D10" i="5" s="1"/>
  <c r="D3" i="6" s="1"/>
  <c r="D8" i="6" s="1"/>
  <c r="D2" i="7" s="1"/>
  <c r="D4" i="7" s="1"/>
  <c r="D8" i="5"/>
  <c r="D5" i="5"/>
  <c r="D7" i="5"/>
  <c r="F2" i="6"/>
  <c r="F2" i="5"/>
  <c r="G2" i="4"/>
  <c r="E6" i="5"/>
  <c r="E3" i="5"/>
  <c r="E4" i="5" s="1"/>
  <c r="E4" i="6"/>
  <c r="E7" i="6"/>
  <c r="E5" i="6"/>
  <c r="F4" i="6" l="1"/>
  <c r="F7" i="6"/>
  <c r="F5" i="6"/>
  <c r="E9" i="5"/>
  <c r="E10" i="5" s="1"/>
  <c r="E3" i="6" s="1"/>
  <c r="E8" i="6" s="1"/>
  <c r="E2" i="7" s="1"/>
  <c r="E4" i="7" s="1"/>
  <c r="E8" i="5"/>
  <c r="G2" i="5"/>
  <c r="G2" i="6"/>
  <c r="F6" i="5"/>
  <c r="F3" i="5"/>
  <c r="F4" i="5" s="1"/>
  <c r="E5" i="5"/>
  <c r="E7" i="5"/>
  <c r="F9" i="5" l="1"/>
  <c r="F10" i="5" s="1"/>
  <c r="F3" i="6" s="1"/>
  <c r="F8" i="6" s="1"/>
  <c r="F2" i="7" s="1"/>
  <c r="F8" i="5"/>
  <c r="G7" i="6"/>
  <c r="G5" i="6"/>
  <c r="G4" i="6"/>
  <c r="G3" i="5"/>
  <c r="G4" i="5" s="1"/>
  <c r="G6" i="5"/>
  <c r="F7" i="5"/>
  <c r="F5" i="5"/>
  <c r="F4" i="7" l="1"/>
  <c r="F5" i="7"/>
  <c r="F6" i="7" s="1"/>
  <c r="G9" i="5"/>
  <c r="G10" i="5" s="1"/>
  <c r="G3" i="6" s="1"/>
  <c r="G8" i="6" s="1"/>
  <c r="G8" i="5"/>
  <c r="G5" i="5"/>
  <c r="G7" i="5"/>
  <c r="I4" i="7" l="1"/>
  <c r="I7" i="7" s="1"/>
  <c r="I9" i="7" s="1"/>
  <c r="K4" i="7" s="1"/>
</calcChain>
</file>

<file path=xl/sharedStrings.xml><?xml version="1.0" encoding="utf-8"?>
<sst xmlns="http://schemas.openxmlformats.org/spreadsheetml/2006/main" count="130" uniqueCount="71">
  <si>
    <t>D</t>
  </si>
  <si>
    <t>Metric</t>
  </si>
  <si>
    <t>Revenue</t>
  </si>
  <si>
    <t>Gross Profit</t>
  </si>
  <si>
    <t>Operating Income</t>
  </si>
  <si>
    <t>Net Income</t>
  </si>
  <si>
    <t>Cash &amp; Equivalents</t>
  </si>
  <si>
    <t>Total Debt</t>
  </si>
  <si>
    <t>CapEx</t>
  </si>
  <si>
    <t>Depreciation &amp; Amortization</t>
  </si>
  <si>
    <t xml:space="preserve">Shares Outstanding </t>
  </si>
  <si>
    <t>2021</t>
  </si>
  <si>
    <t>2022</t>
  </si>
  <si>
    <t>2023</t>
  </si>
  <si>
    <t>2024</t>
  </si>
  <si>
    <t>2025</t>
  </si>
  <si>
    <t>Revenue Growth %</t>
  </si>
  <si>
    <t>Gross Margin %</t>
  </si>
  <si>
    <t>Operating Margin %</t>
  </si>
  <si>
    <t>Net Margin %</t>
  </si>
  <si>
    <t>Revenue Growth</t>
  </si>
  <si>
    <t>Gross Margin</t>
  </si>
  <si>
    <t>Operating Margin</t>
  </si>
  <si>
    <t>Tax Rate</t>
  </si>
  <si>
    <t>CapEx % of Revenue</t>
  </si>
  <si>
    <t>D&amp;A % of Revenue</t>
  </si>
  <si>
    <t>WACC</t>
  </si>
  <si>
    <t>Terminal Growth Rate</t>
  </si>
  <si>
    <t>Pre-Tax Income</t>
  </si>
  <si>
    <t>Income Tax Expense</t>
  </si>
  <si>
    <t>Tax Rate %</t>
  </si>
  <si>
    <t xml:space="preserve">WACC Inputs </t>
  </si>
  <si>
    <t>Risk Free Rate</t>
  </si>
  <si>
    <t>Beta</t>
  </si>
  <si>
    <t>Market Risk Premium</t>
  </si>
  <si>
    <t>Cost of Equity</t>
  </si>
  <si>
    <t>Cost of Debt</t>
  </si>
  <si>
    <t>Debt Weight</t>
  </si>
  <si>
    <t>Equity Weight</t>
  </si>
  <si>
    <t xml:space="preserve">Value </t>
  </si>
  <si>
    <t>2025A</t>
  </si>
  <si>
    <t>2026E</t>
  </si>
  <si>
    <t>2027E</t>
  </si>
  <si>
    <t>2028E</t>
  </si>
  <si>
    <t>2029E</t>
  </si>
  <si>
    <t>2030E</t>
  </si>
  <si>
    <t>CapEx % of Revnue</t>
  </si>
  <si>
    <t>Taxes</t>
  </si>
  <si>
    <t>COGS</t>
  </si>
  <si>
    <t>Operating Expenses</t>
  </si>
  <si>
    <t>NOPAT</t>
  </si>
  <si>
    <t>D&amp;A</t>
  </si>
  <si>
    <t>Change in NWC</t>
  </si>
  <si>
    <t>UFCF</t>
  </si>
  <si>
    <t>PV of Terminal Value</t>
  </si>
  <si>
    <t>Enterprise Value</t>
  </si>
  <si>
    <t>Equity Value</t>
  </si>
  <si>
    <t>Intrinsic Value Per Share</t>
  </si>
  <si>
    <t xml:space="preserve">NWC % of Revenue </t>
  </si>
  <si>
    <t>NWC</t>
  </si>
  <si>
    <t>Cash</t>
  </si>
  <si>
    <t>Debt</t>
  </si>
  <si>
    <t>Discount Factor</t>
  </si>
  <si>
    <t>Present Value</t>
  </si>
  <si>
    <t>Value</t>
  </si>
  <si>
    <t>Terminal Value</t>
  </si>
  <si>
    <t>WACC Input</t>
  </si>
  <si>
    <t>Growth Input</t>
  </si>
  <si>
    <t>Terminal Growth Rate / WACC</t>
  </si>
  <si>
    <t>Apple DCF Sensitivity Analysis (Intrinsic Value per Share)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</si>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</sst>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76" formatCode="#,##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Font="1" applyBorder="1"/>
    <xf numFmtId="9" fontId="0" fillId="0" borderId="0" xfId="1" applyFont="1"/>
    <xf numFmtId="164" fontId="0" fillId="0" borderId="0" xfId="1" applyNumberFormat="1" applyFont="1"/>
    <xf numFmtId="0" fontId="0" fillId="3" borderId="6" xfId="0" applyFont="1" applyFill="1" applyBorder="1"/>
    <xf numFmtId="164" fontId="0" fillId="0" borderId="0" xfId="0" applyNumberFormat="1"/>
    <xf numFmtId="165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1" fontId="0" fillId="0" borderId="0" xfId="0" applyNumberFormat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3" fillId="0" borderId="0" xfId="0" applyFont="1" applyBorder="1" applyAlignment="1">
      <alignment horizontal="center" vertical="top"/>
    </xf>
    <xf numFmtId="0" fontId="2" fillId="2" borderId="10" xfId="0" applyFont="1" applyFill="1" applyBorder="1"/>
    <xf numFmtId="0" fontId="2" fillId="2" borderId="11" xfId="0" applyFont="1" applyFill="1" applyBorder="1"/>
    <xf numFmtId="0" fontId="0" fillId="3" borderId="12" xfId="0" applyFont="1" applyFill="1" applyBorder="1"/>
    <xf numFmtId="164" fontId="0" fillId="3" borderId="13" xfId="1" applyNumberFormat="1" applyFont="1" applyFill="1" applyBorder="1"/>
    <xf numFmtId="0" fontId="0" fillId="0" borderId="4" xfId="0" applyFont="1" applyBorder="1"/>
    <xf numFmtId="164" fontId="0" fillId="0" borderId="5" xfId="1" applyNumberFormat="1" applyFont="1" applyBorder="1"/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 vertical="top"/>
    </xf>
    <xf numFmtId="0" fontId="3" fillId="0" borderId="19" xfId="0" applyFont="1" applyBorder="1" applyAlignment="1">
      <alignment horizontal="center" vertical="top"/>
    </xf>
    <xf numFmtId="165" fontId="0" fillId="0" borderId="0" xfId="0" applyNumberFormat="1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165" fontId="0" fillId="0" borderId="21" xfId="0" applyNumberFormat="1" applyBorder="1" applyAlignment="1">
      <alignment horizontal="center"/>
    </xf>
    <xf numFmtId="165" fontId="3" fillId="0" borderId="14" xfId="0" applyNumberFormat="1" applyFont="1" applyBorder="1" applyAlignment="1">
      <alignment horizontal="center"/>
    </xf>
    <xf numFmtId="164" fontId="3" fillId="0" borderId="22" xfId="1" applyNumberFormat="1" applyFont="1" applyBorder="1" applyAlignment="1">
      <alignment horizontal="center"/>
    </xf>
    <xf numFmtId="164" fontId="3" fillId="0" borderId="23" xfId="1" applyNumberFormat="1" applyFont="1" applyBorder="1" applyAlignment="1">
      <alignment horizontal="center"/>
    </xf>
    <xf numFmtId="164" fontId="3" fillId="0" borderId="24" xfId="1" applyNumberFormat="1" applyFont="1" applyBorder="1" applyAlignment="1">
      <alignment horizontal="center"/>
    </xf>
    <xf numFmtId="164" fontId="3" fillId="0" borderId="25" xfId="1" applyNumberFormat="1" applyFont="1" applyBorder="1" applyAlignment="1">
      <alignment horizontal="center"/>
    </xf>
    <xf numFmtId="164" fontId="0" fillId="0" borderId="0" xfId="1" applyNumberFormat="1" applyFont="1" applyAlignment="1">
      <alignment horizontal="right" vertical="center"/>
    </xf>
    <xf numFmtId="164" fontId="5" fillId="0" borderId="0" xfId="1" applyNumberFormat="1" applyFont="1"/>
    <xf numFmtId="164" fontId="5" fillId="0" borderId="0" xfId="0" applyNumberFormat="1" applyFont="1"/>
    <xf numFmtId="2" fontId="5" fillId="0" borderId="0" xfId="1" applyNumberFormat="1" applyFont="1"/>
    <xf numFmtId="3" fontId="5" fillId="0" borderId="0" xfId="0" applyNumberFormat="1" applyFont="1"/>
    <xf numFmtId="0" fontId="5" fillId="0" borderId="0" xfId="0" applyFont="1"/>
    <xf numFmtId="176" fontId="5" fillId="0" borderId="0" xfId="0" applyNumberFormat="1" applyFont="1"/>
    <xf numFmtId="164" fontId="1" fillId="0" borderId="0" xfId="1" applyNumberFormat="1" applyFont="1"/>
    <xf numFmtId="164" fontId="1" fillId="0" borderId="0" xfId="0" applyNumberFormat="1" applyFont="1"/>
    <xf numFmtId="10" fontId="1" fillId="0" borderId="0" xfId="1" applyNumberFormat="1" applyFont="1"/>
  </cellXfs>
  <cellStyles count="2">
    <cellStyle name="Normal" xfId="0" builtinId="0"/>
    <cellStyle name="Percent" xfId="1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numFmt numFmtId="0" formatCode="General"/>
    </dxf>
    <dxf>
      <numFmt numFmtId="0" formatCode="General"/>
    </dxf>
    <dxf>
      <numFmt numFmtId="164" formatCode="0.0%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9997BB-3B4D-44B1-AA57-3AB7A3343B6A}" name="Table1" displayName="Table1" ref="A1:F13" totalsRowShown="0" headerRowBorderDxfId="18" tableBorderDxfId="19">
  <autoFilter ref="A1:F13" xr:uid="{EA9997BB-3B4D-44B1-AA57-3AB7A3343B6A}"/>
  <tableColumns count="6">
    <tableColumn id="1" xr3:uid="{B6CBE06C-2150-4E78-A114-BA4C0E8B868F}" name="Metric"/>
    <tableColumn id="2" xr3:uid="{1C66AC7D-04D4-4A2A-B2F0-DABE0F81F403}" name="2021"/>
    <tableColumn id="3" xr3:uid="{97A1A2D4-3E2A-4E4F-AF38-183A4EB6AEAC}" name="2022"/>
    <tableColumn id="4" xr3:uid="{222B23D9-6BA2-4105-BA40-923551889DE0}" name="2023"/>
    <tableColumn id="5" xr3:uid="{C98DE4FB-12FA-40F1-8F21-33EA6668A30B}" name="2024"/>
    <tableColumn id="6" xr3:uid="{C4D29AC5-3E25-494D-8362-170341943AE6}" name="202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FCEBAD-F7B2-49B4-9DD8-60D7F92F02AD}" name="Table4" displayName="Table4" ref="A15:F20" totalsRowShown="0">
  <autoFilter ref="A15:F20" xr:uid="{6BFCEBAD-F7B2-49B4-9DD8-60D7F92F02AD}"/>
  <tableColumns count="6">
    <tableColumn id="1" xr3:uid="{A9AE31DA-EAC4-440E-9AF8-E94543D94BB9}" name="Metric"/>
    <tableColumn id="2" xr3:uid="{240D4CCE-CB1D-4450-8B46-3124F0B8E82E}" name="2021" dataDxfId="17"/>
    <tableColumn id="3" xr3:uid="{BE348430-ABD2-460D-BBDA-C3017E9D5F36}" name="2022"/>
    <tableColumn id="4" xr3:uid="{5FC22EDC-30E7-4D6A-ABAE-813865EFB5BE}" name="2023"/>
    <tableColumn id="5" xr3:uid="{F9F8E89D-95DA-4201-BAED-0E2007E19726}" name="2024" dataDxfId="15"/>
    <tableColumn id="6" xr3:uid="{54862E4B-7639-4502-A84B-9F540D7AD763}" name="2025" dataDxfId="16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0B607D-1FC8-4B1D-AE2D-217C0EEADEAA}" name="Table5" displayName="Table5" ref="A16:B24" totalsRowShown="0">
  <autoFilter ref="A16:B24" xr:uid="{150B607D-1FC8-4B1D-AE2D-217C0EEADEAA}"/>
  <tableColumns count="2">
    <tableColumn id="1" xr3:uid="{21109DA5-3F15-4838-8E7B-91060DBA29BF}" name="WACC Inputs "/>
    <tableColumn id="2" xr3:uid="{E6632DC2-D9F9-4446-A057-05853E175781}" name="Value " dataCellStyle="Percent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AAA5DC2-B502-438A-BB55-D9A4D84C7CAA}" name="Table6" displayName="Table6" ref="A1:K11" totalsRowShown="0" headerRowDxfId="5" headerRowBorderDxfId="3" tableBorderDxfId="4">
  <autoFilter ref="A1:K11" xr:uid="{4AAA5DC2-B502-438A-BB55-D9A4D84C7CAA}"/>
  <tableColumns count="11">
    <tableColumn id="1" xr3:uid="{0E605329-BDCA-4BC6-B0D0-AF580CE68525}" name="Metric"/>
    <tableColumn id="2" xr3:uid="{DF86CABA-0F6D-4971-AC68-4AF0791E0A2C}" name="2021"/>
    <tableColumn id="3" xr3:uid="{E443BA4B-8804-4786-B6DB-20BCD90CD09B}" name="2022"/>
    <tableColumn id="4" xr3:uid="{70F17933-FA85-4CA5-9967-CFC10EA76782}" name="2023"/>
    <tableColumn id="5" xr3:uid="{DBBA70CE-B4B3-4D6B-B626-9034068DA443}" name="2024" dataDxfId="2" dataCellStyle="Percent"/>
    <tableColumn id="6" xr3:uid="{2161ACAC-B711-4A44-B50C-41A2D2AFB018}" name="2025" dataDxfId="1"/>
    <tableColumn id="7" xr3:uid="{2F566238-0D4E-4895-9D68-CE99BE98FFD6}" name="2026E"/>
    <tableColumn id="8" xr3:uid="{25F13483-B589-4BE0-B92D-B5E017778016}" name="2027E"/>
    <tableColumn id="9" xr3:uid="{FBB91464-6889-4F84-89D7-3F04FDEDBEA1}" name="2028E"/>
    <tableColumn id="10" xr3:uid="{5A891FD6-DCD3-4BE2-9D6A-3FF550D304F9}" name="2029E"/>
    <tableColumn id="11" xr3:uid="{8009EF0B-D828-4027-BED7-2E07DDD73625}" name="2030E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1DA133-757A-4FF0-97DD-F59ABF179950}" name="Table7" displayName="Table7" ref="A1:G9" totalsRowShown="0">
  <autoFilter ref="A1:G9" xr:uid="{4B1DA133-757A-4FF0-97DD-F59ABF179950}"/>
  <tableColumns count="7">
    <tableColumn id="1" xr3:uid="{0CCF2137-19E2-4C5C-BFE6-9520D19B66F2}" name="Metric"/>
    <tableColumn id="2" xr3:uid="{8D2C7F21-6985-4C22-A167-F3F1957CE012}" name="2025A"/>
    <tableColumn id="3" xr3:uid="{D8107FD8-6C26-448B-A9E5-C6D84C48EDE8}" name="2026E"/>
    <tableColumn id="4" xr3:uid="{658F945E-6DA0-462F-8318-84660BC12280}" name="2027E"/>
    <tableColumn id="5" xr3:uid="{6A2989F6-93D4-4268-BCE9-E8A76F8CC00A}" name="2028E"/>
    <tableColumn id="6" xr3:uid="{9C9E81AB-A4AC-4261-805F-76AB7D67727D}" name="2029E"/>
    <tableColumn id="7" xr3:uid="{12171BFB-8440-4E2A-BDDA-18AB0076D39E}" name="2030E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C6EF2D0-DA79-4694-8CA8-00BCBA43FA09}" name="Table8" displayName="Table8" ref="A1:G10" totalsRowShown="0" headerRowDxfId="12" headerRowBorderDxfId="13" tableBorderDxfId="14">
  <autoFilter ref="A1:G10" xr:uid="{7C6EF2D0-DA79-4694-8CA8-00BCBA43FA09}"/>
  <tableColumns count="7">
    <tableColumn id="1" xr3:uid="{10060440-6181-478E-8CBD-0C9DCE5F76F7}" name="Metric"/>
    <tableColumn id="2" xr3:uid="{080D33A4-D321-4614-B661-3EB3CA7943B5}" name="2025A"/>
    <tableColumn id="3" xr3:uid="{A53A660F-CFE4-4B2B-B104-E4C60532521C}" name="2026E"/>
    <tableColumn id="4" xr3:uid="{CE1A8F31-713E-4511-A630-368948DC50D6}" name="2027E"/>
    <tableColumn id="5" xr3:uid="{A7156232-1887-426E-9370-A3E75B81DB48}" name="2028E"/>
    <tableColumn id="6" xr3:uid="{7B4F1EC5-BEA2-4A92-B2B7-9E8DF04C2351}" name="2029E"/>
    <tableColumn id="7" xr3:uid="{F5BFCD67-7826-4D95-A8F0-5B962A5E5F69}" name="2030E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58361E3-6550-4C00-BE2F-B122AD509EF7}" name="Table9" displayName="Table9" ref="A1:G8" totalsRowShown="0" headerRowDxfId="9" headerRowBorderDxfId="10" tableBorderDxfId="11">
  <autoFilter ref="A1:G8" xr:uid="{E58361E3-6550-4C00-BE2F-B122AD509EF7}"/>
  <tableColumns count="7">
    <tableColumn id="1" xr3:uid="{64B90D9A-7039-4D86-84EB-3A0AA60372A0}" name="Metric"/>
    <tableColumn id="2" xr3:uid="{4B97D457-9CD8-471A-9338-77E7C32CD2CE}" name="2025A"/>
    <tableColumn id="3" xr3:uid="{91FF3D77-B117-4155-8A5A-EB34E426D4BB}" name="2026E"/>
    <tableColumn id="4" xr3:uid="{D9747EB8-5BED-48F4-A0FA-6B0CE816FA8E}" name="2027E"/>
    <tableColumn id="5" xr3:uid="{13F3A15C-AF61-433F-BFF6-20E9BBB06745}" name="2028E"/>
    <tableColumn id="6" xr3:uid="{6C8FB208-5ED0-4789-9400-28B619CA1DE8}" name="2029E"/>
    <tableColumn id="7" xr3:uid="{131B0C9E-69C1-413D-B071-64F8C345525C}" name="2030E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A9C5338-1EBA-4EBB-A6B3-EB96C7FBF883}" name="Table10" displayName="Table10" ref="A1:F6" totalsRowShown="0" headerRowDxfId="6" headerRowBorderDxfId="7" tableBorderDxfId="8">
  <autoFilter ref="A1:F6" xr:uid="{DA9C5338-1EBA-4EBB-A6B3-EB96C7FBF883}"/>
  <tableColumns count="6">
    <tableColumn id="1" xr3:uid="{E9A49A32-8136-46EE-979C-A8CF4B9F0BC9}" name="Metric"/>
    <tableColumn id="3" xr3:uid="{9DA37107-BBED-438A-8411-513FC67DD010}" name="2026E"/>
    <tableColumn id="4" xr3:uid="{CD52B1EA-5153-45E6-A38F-9DD094FFE4FE}" name="2027E"/>
    <tableColumn id="5" xr3:uid="{E3F0EF41-F403-45F5-9513-B9733C135384}" name="2028E"/>
    <tableColumn id="6" xr3:uid="{6ED8DE31-A1B4-4BE7-BAEE-0701494501AC}" name="2029E"/>
    <tableColumn id="7" xr3:uid="{F05DA8F8-29E3-4D42-9B16-8ADDB49D8AF7}" name="2030E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533C2ED-8032-48FF-AEAF-CE03B6DE46DB}" name="Table12" displayName="Table12" ref="H1:I10" totalsRowShown="0">
  <autoFilter ref="H1:I10" xr:uid="{B533C2ED-8032-48FF-AEAF-CE03B6DE46DB}"/>
  <tableColumns count="2">
    <tableColumn id="1" xr3:uid="{0C130EE9-18F0-4AC3-8A50-37054F69FC5D}" name="Metric" dataDxfId="0"/>
    <tableColumn id="2" xr3:uid="{B7665662-3B03-42C3-AA7A-C5969FBA5F35}" name="Valu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E657-E689-434C-958C-B44BB86A94E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130BF-A2E0-433E-9F8A-803FA9A79599}">
  <dimension ref="A1:F20"/>
  <sheetViews>
    <sheetView zoomScale="87" zoomScaleNormal="81" workbookViewId="0">
      <selection activeCell="F23" sqref="F23"/>
    </sheetView>
  </sheetViews>
  <sheetFormatPr defaultRowHeight="15" x14ac:dyDescent="0.25"/>
  <cols>
    <col min="1" max="1" width="27.7109375" customWidth="1"/>
    <col min="2" max="2" width="14.7109375" customWidth="1"/>
    <col min="3" max="3" width="14.140625" customWidth="1"/>
    <col min="4" max="4" width="16.28515625" customWidth="1"/>
    <col min="5" max="5" width="13.85546875" customWidth="1"/>
    <col min="6" max="6" width="16" customWidth="1"/>
  </cols>
  <sheetData>
    <row r="1" spans="1:6" x14ac:dyDescent="0.25">
      <c r="A1" s="2" t="s">
        <v>1</v>
      </c>
      <c r="B1" s="3" t="s">
        <v>11</v>
      </c>
      <c r="C1" s="3" t="s">
        <v>12</v>
      </c>
      <c r="D1" s="3" t="s">
        <v>13</v>
      </c>
      <c r="E1" s="3" t="s">
        <v>14</v>
      </c>
      <c r="F1" s="4" t="s">
        <v>15</v>
      </c>
    </row>
    <row r="2" spans="1:6" x14ac:dyDescent="0.25">
      <c r="A2" t="s">
        <v>2</v>
      </c>
      <c r="B2" s="43">
        <v>365817</v>
      </c>
      <c r="C2" s="43">
        <v>394328</v>
      </c>
      <c r="D2" s="43">
        <v>383285</v>
      </c>
      <c r="E2" s="43">
        <v>391035</v>
      </c>
      <c r="F2" s="43">
        <v>416161</v>
      </c>
    </row>
    <row r="3" spans="1:6" x14ac:dyDescent="0.25">
      <c r="A3" t="s">
        <v>3</v>
      </c>
      <c r="B3" s="43">
        <v>152836</v>
      </c>
      <c r="C3" s="43">
        <v>170782</v>
      </c>
      <c r="D3" s="43">
        <v>169148</v>
      </c>
      <c r="E3" s="43">
        <v>180683</v>
      </c>
      <c r="F3" s="43">
        <v>195201</v>
      </c>
    </row>
    <row r="4" spans="1:6" x14ac:dyDescent="0.25">
      <c r="A4" t="s">
        <v>4</v>
      </c>
      <c r="B4" s="43">
        <v>108949</v>
      </c>
      <c r="C4" s="43">
        <v>119437</v>
      </c>
      <c r="D4" s="43">
        <v>114301</v>
      </c>
      <c r="E4" s="43">
        <v>123216</v>
      </c>
      <c r="F4" s="43">
        <v>133050</v>
      </c>
    </row>
    <row r="5" spans="1:6" x14ac:dyDescent="0.25">
      <c r="A5" t="s">
        <v>28</v>
      </c>
      <c r="B5" s="43">
        <v>109207</v>
      </c>
      <c r="C5" s="43">
        <v>119103</v>
      </c>
      <c r="D5" s="43">
        <v>113736</v>
      </c>
      <c r="E5" s="43">
        <v>123485</v>
      </c>
      <c r="F5" s="43">
        <v>132729</v>
      </c>
    </row>
    <row r="6" spans="1:6" x14ac:dyDescent="0.25">
      <c r="A6" t="s">
        <v>29</v>
      </c>
      <c r="B6" s="43">
        <v>14527</v>
      </c>
      <c r="C6" s="43">
        <v>19300</v>
      </c>
      <c r="D6" s="43">
        <v>16741</v>
      </c>
      <c r="E6" s="43">
        <v>29749</v>
      </c>
      <c r="F6" s="43">
        <v>20719</v>
      </c>
    </row>
    <row r="7" spans="1:6" x14ac:dyDescent="0.25">
      <c r="A7" t="s">
        <v>5</v>
      </c>
      <c r="B7" s="43">
        <v>94068</v>
      </c>
      <c r="C7" s="43">
        <v>99803</v>
      </c>
      <c r="D7" s="43">
        <v>96995</v>
      </c>
      <c r="E7" s="43">
        <v>93736</v>
      </c>
      <c r="F7" s="43">
        <v>112010</v>
      </c>
    </row>
    <row r="8" spans="1:6" x14ac:dyDescent="0.25">
      <c r="A8" t="s">
        <v>7</v>
      </c>
      <c r="B8" s="43">
        <v>124719</v>
      </c>
      <c r="C8" s="43">
        <v>120069</v>
      </c>
      <c r="D8" s="43">
        <v>111088</v>
      </c>
      <c r="E8" s="43">
        <v>106629</v>
      </c>
      <c r="F8" s="43">
        <v>98657</v>
      </c>
    </row>
    <row r="9" spans="1:6" x14ac:dyDescent="0.25">
      <c r="A9" t="s">
        <v>8</v>
      </c>
      <c r="B9" s="43">
        <v>11085</v>
      </c>
      <c r="C9" s="43">
        <v>10708</v>
      </c>
      <c r="D9" s="43">
        <v>10959</v>
      </c>
      <c r="E9" s="43">
        <v>9447</v>
      </c>
      <c r="F9" s="43">
        <v>12715</v>
      </c>
    </row>
    <row r="10" spans="1:6" x14ac:dyDescent="0.25">
      <c r="A10" t="s">
        <v>9</v>
      </c>
      <c r="B10" s="43">
        <v>11284</v>
      </c>
      <c r="C10" s="43">
        <v>11104</v>
      </c>
      <c r="D10" s="43">
        <v>11519</v>
      </c>
      <c r="E10" s="44">
        <v>11445</v>
      </c>
      <c r="F10" s="44">
        <v>11698</v>
      </c>
    </row>
    <row r="11" spans="1:6" x14ac:dyDescent="0.25">
      <c r="A11" t="s">
        <v>10</v>
      </c>
      <c r="B11" s="43">
        <v>16426786</v>
      </c>
      <c r="C11" s="45">
        <v>15943.424999999999</v>
      </c>
      <c r="D11" s="45">
        <v>15550.061</v>
      </c>
      <c r="E11" s="45">
        <v>15116.786</v>
      </c>
      <c r="F11" s="45">
        <v>14773.26</v>
      </c>
    </row>
    <row r="12" spans="1:6" x14ac:dyDescent="0.25">
      <c r="A12" t="s">
        <v>6</v>
      </c>
      <c r="B12" s="43">
        <v>34390</v>
      </c>
      <c r="C12" s="43">
        <v>23646</v>
      </c>
      <c r="D12" s="43">
        <v>29965</v>
      </c>
      <c r="E12" s="43">
        <v>29943</v>
      </c>
      <c r="F12" s="43">
        <v>35934</v>
      </c>
    </row>
    <row r="15" spans="1:6" x14ac:dyDescent="0.25">
      <c r="A15" t="s">
        <v>1</v>
      </c>
      <c r="B15" t="s">
        <v>11</v>
      </c>
      <c r="C15" t="s">
        <v>12</v>
      </c>
      <c r="D15" t="s">
        <v>13</v>
      </c>
      <c r="E15" t="s">
        <v>14</v>
      </c>
      <c r="F15" s="6" t="s">
        <v>15</v>
      </c>
    </row>
    <row r="16" spans="1:6" x14ac:dyDescent="0.25">
      <c r="A16" t="s">
        <v>16</v>
      </c>
      <c r="B16" s="39" t="s">
        <v>70</v>
      </c>
      <c r="C16" s="7">
        <f>(C2/B2)-1</f>
        <v>7.7937876041846099E-2</v>
      </c>
      <c r="D16" s="7">
        <f>(D2/C2)-1</f>
        <v>-2.800460530319937E-2</v>
      </c>
      <c r="E16" s="7">
        <f>(E2/D2)-1</f>
        <v>2.021994077514111E-2</v>
      </c>
      <c r="F16" s="7">
        <f>(F2/E2)-1</f>
        <v>6.425511782832749E-2</v>
      </c>
    </row>
    <row r="17" spans="1:6" x14ac:dyDescent="0.25">
      <c r="A17" t="s">
        <v>17</v>
      </c>
      <c r="B17" s="9">
        <f>B3/B2</f>
        <v>0.41779359625167778</v>
      </c>
      <c r="C17" s="9">
        <f t="shared" ref="C17:D17" si="0">C3/C2</f>
        <v>0.43309630561360085</v>
      </c>
      <c r="D17" s="9">
        <f t="shared" si="0"/>
        <v>0.44131129577207562</v>
      </c>
      <c r="E17" s="7">
        <f>E3/E2</f>
        <v>0.46206349815233932</v>
      </c>
      <c r="F17" s="7">
        <f>F3/F2</f>
        <v>0.46905164107160452</v>
      </c>
    </row>
    <row r="18" spans="1:6" x14ac:dyDescent="0.25">
      <c r="A18" t="s">
        <v>18</v>
      </c>
      <c r="B18" s="9">
        <f>B4/B2</f>
        <v>0.29782377527561593</v>
      </c>
      <c r="C18" s="9">
        <f t="shared" ref="C18:D18" si="1">C4/C2</f>
        <v>0.30288744395528594</v>
      </c>
      <c r="D18" s="9">
        <f t="shared" si="1"/>
        <v>0.29821412265024722</v>
      </c>
      <c r="E18" s="7">
        <f>E4/E2</f>
        <v>0.31510222870075566</v>
      </c>
      <c r="F18" s="7">
        <f>F4/F2</f>
        <v>0.31970799762591884</v>
      </c>
    </row>
    <row r="19" spans="1:6" x14ac:dyDescent="0.25">
      <c r="A19" t="s">
        <v>19</v>
      </c>
      <c r="B19" s="9">
        <f>B7/B2</f>
        <v>0.25714496592558572</v>
      </c>
      <c r="C19" s="9">
        <f t="shared" ref="C19:D19" si="2">C7/C2</f>
        <v>0.25309640705199732</v>
      </c>
      <c r="D19" s="9">
        <f t="shared" si="2"/>
        <v>0.25306234264320282</v>
      </c>
      <c r="E19" s="7">
        <f>E7/E2</f>
        <v>0.23971255769943867</v>
      </c>
      <c r="F19" s="7">
        <f>F7/F2</f>
        <v>0.26915064121818238</v>
      </c>
    </row>
    <row r="20" spans="1:6" x14ac:dyDescent="0.25">
      <c r="A20" t="s">
        <v>30</v>
      </c>
      <c r="B20" s="9">
        <f>B6/B5</f>
        <v>0.13302260844085087</v>
      </c>
      <c r="C20" s="9">
        <f t="shared" ref="C20:D20" si="3">C6/C5</f>
        <v>0.16204461684424407</v>
      </c>
      <c r="D20" s="9">
        <f t="shared" si="3"/>
        <v>0.14719174228036858</v>
      </c>
      <c r="E20" s="7">
        <f>E6/E5</f>
        <v>0.24091185164189982</v>
      </c>
      <c r="F20" s="7">
        <f>F6/F5</f>
        <v>0.15610002335586043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BF456-210F-4FA7-9BCC-12687BE9F113}">
  <dimension ref="A1:K24"/>
  <sheetViews>
    <sheetView zoomScale="73" zoomScaleNormal="100" workbookViewId="0">
      <selection activeCell="B21" sqref="B21"/>
    </sheetView>
  </sheetViews>
  <sheetFormatPr defaultRowHeight="15" x14ac:dyDescent="0.25"/>
  <cols>
    <col min="1" max="1" width="19.7109375" customWidth="1"/>
    <col min="2" max="2" width="13.28515625" customWidth="1"/>
    <col min="3" max="3" width="13.5703125" customWidth="1"/>
    <col min="4" max="4" width="12.85546875" customWidth="1"/>
    <col min="5" max="5" width="11.5703125" customWidth="1"/>
    <col min="6" max="6" width="13.85546875" customWidth="1"/>
    <col min="7" max="7" width="11.7109375" customWidth="1"/>
  </cols>
  <sheetData>
    <row r="1" spans="1:11" x14ac:dyDescent="0.25">
      <c r="A1" s="11" t="s">
        <v>1</v>
      </c>
      <c r="B1" s="12" t="s">
        <v>11</v>
      </c>
      <c r="C1" s="12" t="s">
        <v>12</v>
      </c>
      <c r="D1" s="12" t="s">
        <v>13</v>
      </c>
      <c r="E1" s="12" t="s">
        <v>14</v>
      </c>
      <c r="F1" s="13" t="s">
        <v>15</v>
      </c>
      <c r="G1" s="12" t="s">
        <v>41</v>
      </c>
      <c r="H1" s="12" t="s">
        <v>42</v>
      </c>
      <c r="I1" s="12" t="s">
        <v>43</v>
      </c>
      <c r="J1" s="12" t="s">
        <v>44</v>
      </c>
      <c r="K1" s="12" t="s">
        <v>45</v>
      </c>
    </row>
    <row r="2" spans="1:11" x14ac:dyDescent="0.25">
      <c r="A2" t="s">
        <v>20</v>
      </c>
      <c r="C2" s="46">
        <f>'Historical Financials'!C16</f>
        <v>7.7937876041846099E-2</v>
      </c>
      <c r="D2" s="46">
        <f>'Historical Financials'!D16</f>
        <v>-2.800460530319937E-2</v>
      </c>
      <c r="E2" s="46">
        <f>'Historical Financials'!E16</f>
        <v>2.021994077514111E-2</v>
      </c>
      <c r="F2" s="46">
        <f>'Historical Financials'!F16</f>
        <v>6.425511782832749E-2</v>
      </c>
      <c r="G2" s="40">
        <v>0.05</v>
      </c>
      <c r="H2" s="40">
        <v>4.4999999999999998E-2</v>
      </c>
      <c r="I2" s="40">
        <v>0.04</v>
      </c>
      <c r="J2" s="40">
        <v>3.5000000000000003E-2</v>
      </c>
      <c r="K2" s="40">
        <v>0.03</v>
      </c>
    </row>
    <row r="3" spans="1:11" x14ac:dyDescent="0.25">
      <c r="A3" t="s">
        <v>21</v>
      </c>
      <c r="B3" s="46">
        <f>'Historical Financials'!B17</f>
        <v>0.41779359625167778</v>
      </c>
      <c r="C3" s="46">
        <f>'Historical Financials'!C17</f>
        <v>0.43309630561360085</v>
      </c>
      <c r="D3" s="46">
        <f>'Historical Financials'!D17</f>
        <v>0.44131129577207562</v>
      </c>
      <c r="E3" s="46">
        <f>'Historical Financials'!E17</f>
        <v>0.46206349815233932</v>
      </c>
      <c r="F3" s="46">
        <f>'Historical Financials'!F17</f>
        <v>0.46905164107160452</v>
      </c>
      <c r="G3" s="40">
        <v>0.47</v>
      </c>
      <c r="H3" s="40">
        <v>0.47</v>
      </c>
      <c r="I3" s="40">
        <v>0.47</v>
      </c>
      <c r="J3" s="40">
        <v>0.47</v>
      </c>
      <c r="K3" s="40">
        <v>0.47</v>
      </c>
    </row>
    <row r="4" spans="1:11" x14ac:dyDescent="0.25">
      <c r="A4" t="s">
        <v>22</v>
      </c>
      <c r="B4" s="46">
        <f>'Historical Financials'!B18</f>
        <v>0.29782377527561593</v>
      </c>
      <c r="C4" s="46">
        <f>'Historical Financials'!C18</f>
        <v>0.30288744395528594</v>
      </c>
      <c r="D4" s="46">
        <f>'Historical Financials'!D18</f>
        <v>0.29821412265024722</v>
      </c>
      <c r="E4" s="46">
        <f>'Historical Financials'!E18</f>
        <v>0.31510222870075566</v>
      </c>
      <c r="F4" s="46">
        <f>'Historical Financials'!F18</f>
        <v>0.31970799762591884</v>
      </c>
      <c r="G4" s="40">
        <v>0.32</v>
      </c>
      <c r="H4" s="46">
        <f>'Historical Financials'!F18</f>
        <v>0.31970799762591884</v>
      </c>
      <c r="I4" s="46">
        <f>'Historical Financials'!F18</f>
        <v>0.31970799762591884</v>
      </c>
      <c r="J4" s="46">
        <f>'Historical Financials'!F18</f>
        <v>0.31970799762591884</v>
      </c>
      <c r="K4" s="46">
        <f>'Historical Financials'!F18</f>
        <v>0.31970799762591884</v>
      </c>
    </row>
    <row r="5" spans="1:11" x14ac:dyDescent="0.25">
      <c r="A5" t="s">
        <v>23</v>
      </c>
      <c r="B5" s="46">
        <f>'Historical Financials'!B20</f>
        <v>0.13302260844085087</v>
      </c>
      <c r="C5" s="46">
        <f>'Historical Financials'!C20</f>
        <v>0.16204461684424407</v>
      </c>
      <c r="D5" s="46">
        <f>'Historical Financials'!D20</f>
        <v>0.14719174228036858</v>
      </c>
      <c r="E5" s="46">
        <f>'Historical Financials'!E20</f>
        <v>0.24091185164189982</v>
      </c>
      <c r="F5" s="47">
        <f>'Historical Financials'!F20</f>
        <v>0.15610002335586043</v>
      </c>
      <c r="G5" s="46">
        <f>'Historical Financials'!F20</f>
        <v>0.15610002335586043</v>
      </c>
      <c r="H5" s="46">
        <f>'Historical Financials'!F20</f>
        <v>0.15610002335586043</v>
      </c>
      <c r="I5" s="46">
        <f>'Historical Financials'!F20</f>
        <v>0.15610002335586043</v>
      </c>
      <c r="J5" s="46">
        <f>'Historical Financials'!F20</f>
        <v>0.15610002335586043</v>
      </c>
      <c r="K5" s="46">
        <f>'Historical Financials'!F20</f>
        <v>0.15610002335586043</v>
      </c>
    </row>
    <row r="6" spans="1:11" x14ac:dyDescent="0.25">
      <c r="A6" t="s">
        <v>24</v>
      </c>
      <c r="B6" s="46">
        <f>'Historical Financials'!B9/'Historical Financials'!B2</f>
        <v>3.0302036264033657E-2</v>
      </c>
      <c r="C6" s="46">
        <f>'Historical Financials'!C9/'Historical Financials'!C2</f>
        <v>2.7155058732831552E-2</v>
      </c>
      <c r="D6" s="46">
        <f>'Historical Financials'!D9/'Historical Financials'!D2</f>
        <v>2.859230076835775E-2</v>
      </c>
      <c r="E6" s="46">
        <f>'Historical Financials'!E9/'Historical Financials'!E2</f>
        <v>2.415896275269477E-2</v>
      </c>
      <c r="F6" s="47">
        <f>'Historical Financials'!F9/'Historical Financials'!F2</f>
        <v>3.0553079216937677E-2</v>
      </c>
      <c r="G6" s="46">
        <f>'Historical Financials'!F9/'Historical Financials'!F2</f>
        <v>3.0553079216937677E-2</v>
      </c>
      <c r="H6" s="46">
        <f>'Historical Financials'!F9/'Historical Financials'!F2</f>
        <v>3.0553079216937677E-2</v>
      </c>
      <c r="I6" s="46">
        <f>'Historical Financials'!F9/'Historical Financials'!F2</f>
        <v>3.0553079216937677E-2</v>
      </c>
      <c r="J6" s="46">
        <f>'Historical Financials'!F9/'Historical Financials'!F2</f>
        <v>3.0553079216937677E-2</v>
      </c>
      <c r="K6" s="46">
        <f>'Historical Financials'!F9/'Historical Financials'!F2</f>
        <v>3.0553079216937677E-2</v>
      </c>
    </row>
    <row r="7" spans="1:11" x14ac:dyDescent="0.25">
      <c r="A7" t="s">
        <v>25</v>
      </c>
      <c r="B7" s="46">
        <f>'Historical Financials'!B10/'Historical Financials'!B2</f>
        <v>3.084602410494865E-2</v>
      </c>
      <c r="C7" s="46">
        <f>'Historical Financials'!C10/'Historical Financials'!C2</f>
        <v>2.8159298857803657E-2</v>
      </c>
      <c r="D7" s="46">
        <f>'Historical Financials'!D10/'Historical Financials'!D2</f>
        <v>3.0053354553400212E-2</v>
      </c>
      <c r="E7" s="46">
        <f>'Historical Financials'!E10/'Historical Financials'!E2</f>
        <v>2.9268479803598143E-2</v>
      </c>
      <c r="F7" s="47">
        <f>'Historical Financials'!F10/'Historical Financials'!F2</f>
        <v>2.8109313462818475E-2</v>
      </c>
      <c r="G7" s="46">
        <f>'Historical Financials'!F10/'Historical Financials'!F2</f>
        <v>2.8109313462818475E-2</v>
      </c>
      <c r="H7" s="46">
        <f>'Historical Financials'!F10/'Historical Financials'!F2</f>
        <v>2.8109313462818475E-2</v>
      </c>
      <c r="I7" s="46">
        <f>'Historical Financials'!F10/'Historical Financials'!F2</f>
        <v>2.8109313462818475E-2</v>
      </c>
      <c r="J7" s="46">
        <f>'Historical Financials'!F10/'Historical Financials'!F2</f>
        <v>2.8109313462818475E-2</v>
      </c>
      <c r="K7" s="46">
        <f>'Historical Financials'!F10/'Historical Financials'!F2</f>
        <v>2.8109313462818475E-2</v>
      </c>
    </row>
    <row r="8" spans="1:11" x14ac:dyDescent="0.25">
      <c r="A8" t="s">
        <v>26</v>
      </c>
      <c r="E8" s="6"/>
      <c r="F8" s="9"/>
      <c r="G8" s="47">
        <f>(B24*B20)+(B23*B21*(1-B22))</f>
        <v>8.7076851541272246E-2</v>
      </c>
      <c r="H8" s="47">
        <f>(B24*B20)+(B23*B21*(1-B22))</f>
        <v>8.7076851541272246E-2</v>
      </c>
      <c r="I8" s="47">
        <f>(B24*B20)+(B23*B21*(1-B22))</f>
        <v>8.7076851541272246E-2</v>
      </c>
      <c r="J8" s="47">
        <f>(B24*B20)+(B23*B21*(1-B22))</f>
        <v>8.7076851541272246E-2</v>
      </c>
      <c r="K8" s="47">
        <f>(B24*B20)+(B23*B21*(1-B22))</f>
        <v>8.7076851541272246E-2</v>
      </c>
    </row>
    <row r="9" spans="1:11" x14ac:dyDescent="0.25">
      <c r="A9" t="s">
        <v>27</v>
      </c>
      <c r="F9" s="9"/>
      <c r="G9" s="7"/>
      <c r="H9" s="7"/>
      <c r="I9" s="7"/>
      <c r="J9" s="7"/>
      <c r="K9" s="41">
        <v>2.5000000000000001E-2</v>
      </c>
    </row>
    <row r="10" spans="1:11" x14ac:dyDescent="0.25">
      <c r="A10" t="s">
        <v>58</v>
      </c>
      <c r="E10" s="7"/>
      <c r="F10" s="41">
        <v>0.01</v>
      </c>
      <c r="G10" s="40">
        <v>0.01</v>
      </c>
      <c r="H10" s="40">
        <v>0.01</v>
      </c>
      <c r="I10" s="40">
        <v>0.01</v>
      </c>
      <c r="J10" s="40">
        <v>0.01</v>
      </c>
      <c r="K10" s="40">
        <v>0.01</v>
      </c>
    </row>
    <row r="11" spans="1:11" x14ac:dyDescent="0.25">
      <c r="E11" s="7"/>
      <c r="F11" s="9"/>
    </row>
    <row r="16" spans="1:11" x14ac:dyDescent="0.25">
      <c r="A16" t="s">
        <v>31</v>
      </c>
      <c r="B16" t="s">
        <v>39</v>
      </c>
    </row>
    <row r="17" spans="1:2" x14ac:dyDescent="0.25">
      <c r="A17" t="s">
        <v>32</v>
      </c>
      <c r="B17" s="40">
        <v>0.04</v>
      </c>
    </row>
    <row r="18" spans="1:2" x14ac:dyDescent="0.25">
      <c r="A18" t="s">
        <v>33</v>
      </c>
      <c r="B18" s="42">
        <v>1.07</v>
      </c>
    </row>
    <row r="19" spans="1:2" x14ac:dyDescent="0.25">
      <c r="A19" t="s">
        <v>34</v>
      </c>
      <c r="B19" s="46">
        <v>4.4999999999999998E-2</v>
      </c>
    </row>
    <row r="20" spans="1:2" x14ac:dyDescent="0.25">
      <c r="A20" t="s">
        <v>35</v>
      </c>
      <c r="B20" s="48">
        <f>B17+(B18*B19)</f>
        <v>8.8150000000000006E-2</v>
      </c>
    </row>
    <row r="21" spans="1:2" x14ac:dyDescent="0.25">
      <c r="A21" t="s">
        <v>36</v>
      </c>
      <c r="B21" s="40">
        <v>4.4999999999999998E-2</v>
      </c>
    </row>
    <row r="22" spans="1:2" x14ac:dyDescent="0.25">
      <c r="A22" t="s">
        <v>23</v>
      </c>
      <c r="B22" s="46">
        <f>'Historical Financials'!F20</f>
        <v>0.15610002335586043</v>
      </c>
    </row>
    <row r="23" spans="1:2" x14ac:dyDescent="0.25">
      <c r="A23" t="s">
        <v>37</v>
      </c>
      <c r="B23" s="46">
        <f>'Historical Financials'!F8/('Historical Financials'!F8+4514000)</f>
        <v>2.1388323476035611E-2</v>
      </c>
    </row>
    <row r="24" spans="1:2" x14ac:dyDescent="0.25">
      <c r="A24" t="s">
        <v>38</v>
      </c>
      <c r="B24" s="46">
        <f>4514000/('Historical Financials'!F8+4514000)</f>
        <v>0.97861167652396441</v>
      </c>
    </row>
  </sheetData>
  <phoneticPr fontId="4" type="noConversion"/>
  <pageMargins left="0.7" right="0.7" top="0.75" bottom="0.75" header="0.3" footer="0.3"/>
  <pageSetup orientation="portrait" horizontalDpi="360" verticalDpi="36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F421E-DEA7-465C-AB40-67CD2B2B8F27}">
  <dimension ref="A1:G7"/>
  <sheetViews>
    <sheetView zoomScale="93" workbookViewId="0">
      <selection activeCell="E7" sqref="E7"/>
    </sheetView>
  </sheetViews>
  <sheetFormatPr defaultRowHeight="15" x14ac:dyDescent="0.25"/>
  <cols>
    <col min="1" max="1" width="20.140625" customWidth="1"/>
  </cols>
  <sheetData>
    <row r="1" spans="1:7" x14ac:dyDescent="0.25">
      <c r="A1" t="s">
        <v>1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25">
      <c r="A2" t="s">
        <v>2</v>
      </c>
      <c r="B2" s="1">
        <f>Table1[[#This Row],[2025]]</f>
        <v>416161</v>
      </c>
      <c r="C2" s="14">
        <f>Table7[[#This Row],[2025A]]*(1+C3)</f>
        <v>436969.05000000005</v>
      </c>
      <c r="D2" s="14">
        <f>Table7[[#This Row],[2026E]]*(1+D3)</f>
        <v>456632.65724999999</v>
      </c>
      <c r="E2">
        <f>Table7[[#This Row],[2027E]]*(1+E3)</f>
        <v>474897.96354000003</v>
      </c>
      <c r="F2" s="14">
        <f>Table7[[#This Row],[2028E]]*(1+F3)</f>
        <v>491519.39226389996</v>
      </c>
      <c r="G2">
        <f>Table7[[#This Row],[2029E]]*(1+G3)</f>
        <v>506264.97403181699</v>
      </c>
    </row>
    <row r="3" spans="1:7" x14ac:dyDescent="0.25">
      <c r="A3" t="s">
        <v>16</v>
      </c>
      <c r="B3" s="7">
        <f>Assumptions!F2</f>
        <v>6.425511782832749E-2</v>
      </c>
      <c r="C3" s="7">
        <f>Assumptions!G2</f>
        <v>0.05</v>
      </c>
      <c r="D3" s="7">
        <f>Assumptions!H2</f>
        <v>4.4999999999999998E-2</v>
      </c>
      <c r="E3" s="7">
        <f>Assumptions!I2</f>
        <v>0.04</v>
      </c>
      <c r="F3" s="7">
        <f>Assumptions!J2</f>
        <v>3.5000000000000003E-2</v>
      </c>
      <c r="G3" s="7">
        <f>Assumptions!K2</f>
        <v>0.03</v>
      </c>
    </row>
    <row r="4" spans="1:7" x14ac:dyDescent="0.25">
      <c r="A4" t="s">
        <v>18</v>
      </c>
      <c r="B4" s="7">
        <f>Table6[[#This Row],[2025]]</f>
        <v>0.31970799762591884</v>
      </c>
      <c r="C4" s="7">
        <f>Table6[[#This Row],[2026E]]</f>
        <v>0.32</v>
      </c>
      <c r="D4" s="7">
        <f>Table6[[#This Row],[2027E]]</f>
        <v>0.31970799762591884</v>
      </c>
      <c r="E4" s="7">
        <f>Table6[[#This Row],[2028E]]</f>
        <v>0.31970799762591884</v>
      </c>
      <c r="F4" s="7">
        <f>Table6[[#This Row],[2029E]]</f>
        <v>0.31970799762591884</v>
      </c>
      <c r="G4" s="7">
        <f>Table6[[#This Row],[2030E]]</f>
        <v>0.31970799762591884</v>
      </c>
    </row>
    <row r="5" spans="1:7" x14ac:dyDescent="0.25">
      <c r="A5" t="s">
        <v>30</v>
      </c>
      <c r="B5" s="7">
        <f>Table6[[#This Row],[2025]]</f>
        <v>0.15610002335586043</v>
      </c>
      <c r="C5" s="7">
        <f>Table6[[#This Row],[2026E]]</f>
        <v>0.15610002335586043</v>
      </c>
      <c r="D5" s="7">
        <f>Table6[[#This Row],[2027E]]</f>
        <v>0.15610002335586043</v>
      </c>
      <c r="E5" s="7">
        <f>Table6[[#This Row],[2028E]]</f>
        <v>0.15610002335586043</v>
      </c>
      <c r="F5" s="7">
        <f>Table6[[#This Row],[2029E]]</f>
        <v>0.15610002335586043</v>
      </c>
      <c r="G5" s="7">
        <f>Table6[[#This Row],[2030E]]</f>
        <v>0.15610002335586043</v>
      </c>
    </row>
    <row r="6" spans="1:7" x14ac:dyDescent="0.25">
      <c r="A6" t="s">
        <v>25</v>
      </c>
      <c r="B6" s="7">
        <f>Assumptions!F7</f>
        <v>2.8109313462818475E-2</v>
      </c>
      <c r="C6" s="7">
        <f>Assumptions!G7</f>
        <v>2.8109313462818475E-2</v>
      </c>
      <c r="D6" s="7">
        <f>Assumptions!H7</f>
        <v>2.8109313462818475E-2</v>
      </c>
      <c r="E6" s="7">
        <f>Assumptions!I7</f>
        <v>2.8109313462818475E-2</v>
      </c>
      <c r="F6" s="7">
        <f>Assumptions!J7</f>
        <v>2.8109313462818475E-2</v>
      </c>
      <c r="G6" s="7">
        <f>Assumptions!K7</f>
        <v>2.8109313462818475E-2</v>
      </c>
    </row>
    <row r="7" spans="1:7" x14ac:dyDescent="0.25">
      <c r="A7" t="s">
        <v>46</v>
      </c>
      <c r="B7" s="7">
        <f>Assumptions!F6</f>
        <v>3.0553079216937677E-2</v>
      </c>
      <c r="C7" s="7">
        <f>Assumptions!G6</f>
        <v>3.0553079216937677E-2</v>
      </c>
      <c r="D7" s="7">
        <f>Assumptions!H6</f>
        <v>3.0553079216937677E-2</v>
      </c>
      <c r="E7" s="7">
        <f>Assumptions!I6</f>
        <v>3.0553079216937677E-2</v>
      </c>
      <c r="F7" s="7">
        <f>Assumptions!I6</f>
        <v>3.0553079216937677E-2</v>
      </c>
      <c r="G7" s="7">
        <f>Assumptions!K6</f>
        <v>3.0553079216937677E-2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38C1B-5803-4188-B7E0-33762A3B6FB9}">
  <dimension ref="A1:G10"/>
  <sheetViews>
    <sheetView workbookViewId="0">
      <selection activeCell="E26" sqref="E26"/>
    </sheetView>
  </sheetViews>
  <sheetFormatPr defaultRowHeight="15" x14ac:dyDescent="0.25"/>
  <cols>
    <col min="1" max="1" width="18.85546875" customWidth="1"/>
    <col min="2" max="2" width="9.5703125" bestFit="1" customWidth="1"/>
    <col min="3" max="7" width="9.7109375" bestFit="1" customWidth="1"/>
  </cols>
  <sheetData>
    <row r="1" spans="1:7" x14ac:dyDescent="0.25">
      <c r="A1" s="15" t="s">
        <v>1</v>
      </c>
      <c r="B1" s="16" t="s">
        <v>40</v>
      </c>
      <c r="C1" s="16" t="s">
        <v>41</v>
      </c>
      <c r="D1" s="16" t="s">
        <v>42</v>
      </c>
      <c r="E1" s="16" t="s">
        <v>43</v>
      </c>
      <c r="F1" s="16" t="s">
        <v>44</v>
      </c>
      <c r="G1" s="17" t="s">
        <v>45</v>
      </c>
    </row>
    <row r="2" spans="1:7" x14ac:dyDescent="0.25">
      <c r="A2" t="s">
        <v>2</v>
      </c>
      <c r="B2" s="1">
        <f>Table7[[#This Row],[2025A]]</f>
        <v>416161</v>
      </c>
      <c r="C2" s="1">
        <f>Table7[[#This Row],[2026E]]</f>
        <v>436969.05000000005</v>
      </c>
      <c r="D2" s="1">
        <f>Table7[[#This Row],[2027E]]</f>
        <v>456632.65724999999</v>
      </c>
      <c r="E2" s="1">
        <f>Table7[[#This Row],[2028E]]</f>
        <v>474897.96354000003</v>
      </c>
      <c r="F2" s="1">
        <f>Table7[[#This Row],[2029E]]</f>
        <v>491519.39226389996</v>
      </c>
      <c r="G2" s="1">
        <f>Table7[[#This Row],[2030E]]</f>
        <v>506264.97403181699</v>
      </c>
    </row>
    <row r="3" spans="1:7" x14ac:dyDescent="0.25">
      <c r="A3" t="s">
        <v>48</v>
      </c>
      <c r="B3">
        <f>B2*(1-Table6[[#This Row],[2025]])</f>
        <v>220959.99999999997</v>
      </c>
      <c r="C3" s="14">
        <f>C2*(1-Table6[[#This Row],[2026E]])</f>
        <v>231593.59650000004</v>
      </c>
      <c r="D3" s="14">
        <f>D2*(1-Table6[[#This Row],[2027E]])</f>
        <v>242015.30834250001</v>
      </c>
      <c r="E3" s="14">
        <f>E2*(1-Table6[[#This Row],[2028E]])</f>
        <v>251695.92067620004</v>
      </c>
      <c r="F3" s="14">
        <f>F2*(1-Table6[[#This Row],[2029E]])</f>
        <v>260505.27789986698</v>
      </c>
      <c r="G3" s="14">
        <f>G2*(1-Table6[[#This Row],[2030E]])</f>
        <v>268320.43623686302</v>
      </c>
    </row>
    <row r="4" spans="1:7" x14ac:dyDescent="0.25">
      <c r="A4" t="s">
        <v>3</v>
      </c>
      <c r="B4" s="1">
        <f>B2-B3</f>
        <v>195201.00000000003</v>
      </c>
      <c r="C4" s="1">
        <f>C2-C3</f>
        <v>205375.4535</v>
      </c>
      <c r="D4" s="1">
        <f t="shared" ref="C4:G4" si="0">D2-D3</f>
        <v>214617.34890749998</v>
      </c>
      <c r="E4" s="1">
        <f t="shared" si="0"/>
        <v>223202.04286379999</v>
      </c>
      <c r="F4" s="1">
        <f t="shared" si="0"/>
        <v>231014.11436403298</v>
      </c>
      <c r="G4" s="1">
        <f t="shared" si="0"/>
        <v>237944.53779495397</v>
      </c>
    </row>
    <row r="5" spans="1:7" x14ac:dyDescent="0.25">
      <c r="A5" t="s">
        <v>17</v>
      </c>
      <c r="B5" s="7">
        <f>B4/B2</f>
        <v>0.46905164107160457</v>
      </c>
      <c r="C5" s="7">
        <f>C4/C2</f>
        <v>0.47</v>
      </c>
      <c r="D5" s="7">
        <f t="shared" ref="C5:G5" si="1">D4/D2</f>
        <v>0.47</v>
      </c>
      <c r="E5" s="7">
        <f t="shared" si="1"/>
        <v>0.47</v>
      </c>
      <c r="F5" s="7">
        <f t="shared" si="1"/>
        <v>0.47</v>
      </c>
      <c r="G5" s="7">
        <f t="shared" si="1"/>
        <v>0.47</v>
      </c>
    </row>
    <row r="6" spans="1:7" x14ac:dyDescent="0.25">
      <c r="A6" t="s">
        <v>4</v>
      </c>
      <c r="B6">
        <f>B2*'Revenue Forecast'!B4</f>
        <v>133050</v>
      </c>
      <c r="C6" s="14">
        <f>C2*'Revenue Forecast'!C4</f>
        <v>139830.09600000002</v>
      </c>
      <c r="D6" s="14">
        <f>D2*'Revenue Forecast'!D4</f>
        <v>145989.11250000002</v>
      </c>
      <c r="E6" s="14">
        <f>E2*'Revenue Forecast'!E4</f>
        <v>151828.67700000003</v>
      </c>
      <c r="F6" s="14">
        <f>F2*'Revenue Forecast'!F4</f>
        <v>157142.68069499999</v>
      </c>
      <c r="G6" s="14">
        <f>G2*'Revenue Forecast'!G4</f>
        <v>161856.96111585002</v>
      </c>
    </row>
    <row r="7" spans="1:7" x14ac:dyDescent="0.25">
      <c r="A7" t="s">
        <v>49</v>
      </c>
      <c r="B7" s="1">
        <f>B4-B6</f>
        <v>62151.000000000029</v>
      </c>
      <c r="C7" s="1">
        <f t="shared" ref="C7:G7" si="2">C4-C6</f>
        <v>65545.357499999984</v>
      </c>
      <c r="D7" s="1">
        <f t="shared" si="2"/>
        <v>68628.236407499964</v>
      </c>
      <c r="E7" s="1">
        <f t="shared" si="2"/>
        <v>71373.365863799962</v>
      </c>
      <c r="F7" s="1">
        <f t="shared" si="2"/>
        <v>73871.433669032995</v>
      </c>
      <c r="G7" s="1">
        <f t="shared" si="2"/>
        <v>76087.57667910395</v>
      </c>
    </row>
    <row r="8" spans="1:7" x14ac:dyDescent="0.25">
      <c r="A8" t="s">
        <v>18</v>
      </c>
      <c r="B8" s="7">
        <f>B6/B2</f>
        <v>0.31970799762591884</v>
      </c>
      <c r="C8" s="7">
        <f t="shared" ref="C8:G8" si="3">C6/C2</f>
        <v>0.32</v>
      </c>
      <c r="D8" s="7">
        <f t="shared" si="3"/>
        <v>0.31970799762591884</v>
      </c>
      <c r="E8" s="7">
        <f t="shared" si="3"/>
        <v>0.31970799762591884</v>
      </c>
      <c r="F8" s="7">
        <f t="shared" si="3"/>
        <v>0.31970799762591884</v>
      </c>
      <c r="G8" s="7">
        <f t="shared" si="3"/>
        <v>0.31970799762591884</v>
      </c>
    </row>
    <row r="9" spans="1:7" x14ac:dyDescent="0.25">
      <c r="A9" t="s">
        <v>47</v>
      </c>
      <c r="B9" s="14">
        <f>B6*Assumptions!F5</f>
        <v>20769.108107497232</v>
      </c>
      <c r="C9" s="14">
        <f>C6*Assumptions!G5</f>
        <v>21827.481251452209</v>
      </c>
      <c r="D9" s="14">
        <f>D6*Assumptions!H5</f>
        <v>22788.903870951337</v>
      </c>
      <c r="E9" s="14">
        <f>E6*Assumptions!I5</f>
        <v>23700.460025789394</v>
      </c>
      <c r="F9" s="14">
        <f>F6*Assumptions!J5</f>
        <v>24529.976126692014</v>
      </c>
      <c r="G9" s="14">
        <f>G6*Assumptions!K5</f>
        <v>25265.875410492783</v>
      </c>
    </row>
    <row r="10" spans="1:7" x14ac:dyDescent="0.25">
      <c r="A10" t="s">
        <v>50</v>
      </c>
      <c r="B10" s="14">
        <f>B6-B9</f>
        <v>112280.89189250277</v>
      </c>
      <c r="C10" s="14">
        <f t="shared" ref="C10:G10" si="4">C6-C9</f>
        <v>118002.61474854781</v>
      </c>
      <c r="D10" s="14">
        <f t="shared" si="4"/>
        <v>123200.20862904868</v>
      </c>
      <c r="E10" s="14">
        <f t="shared" si="4"/>
        <v>128128.21697421063</v>
      </c>
      <c r="F10" s="14">
        <f t="shared" si="4"/>
        <v>132612.70456830796</v>
      </c>
      <c r="G10" s="14">
        <f t="shared" si="4"/>
        <v>136591.08570535723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01508-7ACD-4B21-9287-12DE38810B6C}">
  <dimension ref="A1:G8"/>
  <sheetViews>
    <sheetView workbookViewId="0">
      <selection activeCell="B8" sqref="B8"/>
    </sheetView>
  </sheetViews>
  <sheetFormatPr defaultRowHeight="15" x14ac:dyDescent="0.25"/>
  <cols>
    <col min="1" max="1" width="14.5703125" customWidth="1"/>
    <col min="2" max="7" width="9.5703125" bestFit="1" customWidth="1"/>
  </cols>
  <sheetData>
    <row r="1" spans="1:7" x14ac:dyDescent="0.25">
      <c r="A1" s="15" t="s">
        <v>1</v>
      </c>
      <c r="B1" s="16" t="s">
        <v>40</v>
      </c>
      <c r="C1" s="16" t="s">
        <v>41</v>
      </c>
      <c r="D1" s="16" t="s">
        <v>42</v>
      </c>
      <c r="E1" s="16" t="s">
        <v>43</v>
      </c>
      <c r="F1" s="16" t="s">
        <v>44</v>
      </c>
      <c r="G1" s="17" t="s">
        <v>45</v>
      </c>
    </row>
    <row r="2" spans="1:7" x14ac:dyDescent="0.25">
      <c r="A2" t="s">
        <v>2</v>
      </c>
      <c r="B2" s="1">
        <f>Table7[[#This Row],[2025A]]</f>
        <v>416161</v>
      </c>
      <c r="C2" s="14">
        <f>Table7[[#This Row],[2026E]]</f>
        <v>436969.05000000005</v>
      </c>
      <c r="D2" s="14">
        <f>Table7[[#This Row],[2027E]]</f>
        <v>456632.65724999999</v>
      </c>
      <c r="E2">
        <f>Table7[[#This Row],[2028E]]</f>
        <v>474897.96354000003</v>
      </c>
      <c r="F2" s="14">
        <f>Table7[[#This Row],[2029E]]</f>
        <v>491519.39226389996</v>
      </c>
      <c r="G2">
        <f>Table7[[#This Row],[2030E]]</f>
        <v>506264.97403181699</v>
      </c>
    </row>
    <row r="3" spans="1:7" x14ac:dyDescent="0.25">
      <c r="A3" t="s">
        <v>50</v>
      </c>
      <c r="B3" s="14">
        <f>'Income Statement Forecast'!B10</f>
        <v>112280.89189250277</v>
      </c>
      <c r="C3" s="14">
        <f>'Income Statement Forecast'!C10</f>
        <v>118002.61474854781</v>
      </c>
      <c r="D3" s="14">
        <f>'Income Statement Forecast'!D10</f>
        <v>123200.20862904868</v>
      </c>
      <c r="E3" s="14">
        <f>'Income Statement Forecast'!E10</f>
        <v>128128.21697421063</v>
      </c>
      <c r="F3" s="14">
        <f>'Income Statement Forecast'!F10</f>
        <v>132612.70456830796</v>
      </c>
      <c r="G3" s="14">
        <f>'Income Statement Forecast'!G10</f>
        <v>136591.08570535723</v>
      </c>
    </row>
    <row r="4" spans="1:7" x14ac:dyDescent="0.25">
      <c r="A4" t="s">
        <v>51</v>
      </c>
      <c r="B4" s="14">
        <f>B2*Assumptions!F7</f>
        <v>11698</v>
      </c>
      <c r="C4" s="14">
        <f>C2*Assumptions!G7</f>
        <v>12282.900000000001</v>
      </c>
      <c r="D4" s="14">
        <f>D2*Assumptions!H7</f>
        <v>12835.630499999999</v>
      </c>
      <c r="E4" s="14">
        <f>E2*Assumptions!I7</f>
        <v>13349.05572</v>
      </c>
      <c r="F4" s="14">
        <f>F2*Assumptions!J7</f>
        <v>13816.272670199998</v>
      </c>
      <c r="G4" s="14">
        <f>G2*Assumptions!K7</f>
        <v>14230.760850305998</v>
      </c>
    </row>
    <row r="5" spans="1:7" x14ac:dyDescent="0.25">
      <c r="A5" t="s">
        <v>8</v>
      </c>
      <c r="B5" s="14">
        <f>B2*Assumptions!F6</f>
        <v>12715</v>
      </c>
      <c r="C5" s="14">
        <f>C2*Assumptions!G6</f>
        <v>13350.750000000002</v>
      </c>
      <c r="D5" s="14">
        <f>D2*Assumptions!H6</f>
        <v>13951.533750000001</v>
      </c>
      <c r="E5" s="14">
        <f>E2*Assumptions!I6</f>
        <v>14509.5951</v>
      </c>
      <c r="F5" s="14">
        <f>F2*Assumptions!J6</f>
        <v>15017.4309285</v>
      </c>
      <c r="G5" s="14">
        <f>G2*Assumptions!K6</f>
        <v>15467.953856355</v>
      </c>
    </row>
    <row r="6" spans="1:7" x14ac:dyDescent="0.25">
      <c r="A6" t="s">
        <v>59</v>
      </c>
      <c r="B6" s="14">
        <f>B2*Assumptions!F10</f>
        <v>4161.6099999999997</v>
      </c>
      <c r="C6" s="14">
        <f>C2*Assumptions!G10</f>
        <v>4369.6905000000006</v>
      </c>
      <c r="D6" s="14">
        <f>D2*Assumptions!H10</f>
        <v>4566.3265725000001</v>
      </c>
      <c r="E6" s="14">
        <f>E2*Assumptions!I10</f>
        <v>4748.9796354</v>
      </c>
      <c r="F6" s="14">
        <f>F2*Assumptions!J10</f>
        <v>4915.1939226389995</v>
      </c>
      <c r="G6" s="14">
        <f>G2*Assumptions!K10</f>
        <v>5062.6497403181702</v>
      </c>
    </row>
    <row r="7" spans="1:7" x14ac:dyDescent="0.25">
      <c r="A7" t="s">
        <v>52</v>
      </c>
      <c r="B7">
        <v>0</v>
      </c>
      <c r="C7" s="14">
        <f>C6-B6</f>
        <v>208.08050000000094</v>
      </c>
      <c r="D7" s="14">
        <f>D6-C6</f>
        <v>196.6360724999995</v>
      </c>
      <c r="E7" s="14">
        <f t="shared" ref="D7:G7" si="0">E6-D6</f>
        <v>182.6530628999999</v>
      </c>
      <c r="F7" s="14">
        <f t="shared" si="0"/>
        <v>166.21428723899953</v>
      </c>
      <c r="G7" s="14">
        <f t="shared" si="0"/>
        <v>147.45581767917065</v>
      </c>
    </row>
    <row r="8" spans="1:7" x14ac:dyDescent="0.25">
      <c r="A8" t="s">
        <v>53</v>
      </c>
      <c r="B8" s="14">
        <f>B3+B4-B5-B7</f>
        <v>111263.89189250277</v>
      </c>
      <c r="C8" s="14">
        <f>C3+C4-C5-C7</f>
        <v>116726.68424854781</v>
      </c>
      <c r="D8" s="14">
        <f t="shared" ref="C8:G8" si="1">D3+D4-D5-D7</f>
        <v>121887.66930654869</v>
      </c>
      <c r="E8" s="14">
        <f t="shared" si="1"/>
        <v>126785.02453131063</v>
      </c>
      <c r="F8" s="14">
        <f t="shared" si="1"/>
        <v>131245.33202276897</v>
      </c>
      <c r="G8" s="14">
        <f t="shared" si="1"/>
        <v>135206.43688162905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0515-0ABC-4888-846F-E0B29587C089}">
  <dimension ref="A1:P20"/>
  <sheetViews>
    <sheetView tabSelected="1" topLeftCell="B1" zoomScale="108" zoomScaleNormal="115" workbookViewId="0">
      <selection activeCell="G11" sqref="G11"/>
    </sheetView>
  </sheetViews>
  <sheetFormatPr defaultRowHeight="15" x14ac:dyDescent="0.25"/>
  <cols>
    <col min="1" max="1" width="22.7109375" customWidth="1"/>
    <col min="2" max="2" width="9.5703125" bestFit="1" customWidth="1"/>
    <col min="3" max="6" width="9.28515625" bestFit="1" customWidth="1"/>
    <col min="8" max="8" width="24" customWidth="1"/>
    <col min="9" max="9" width="20.5703125" customWidth="1"/>
    <col min="10" max="10" width="10.42578125" customWidth="1"/>
    <col min="11" max="11" width="7.5703125" customWidth="1"/>
    <col min="12" max="16" width="9.28515625" bestFit="1" customWidth="1"/>
  </cols>
  <sheetData>
    <row r="1" spans="1:16" ht="15.75" thickBot="1" x14ac:dyDescent="0.3">
      <c r="A1" s="15" t="s">
        <v>1</v>
      </c>
      <c r="B1" s="16" t="s">
        <v>41</v>
      </c>
      <c r="C1" s="16" t="s">
        <v>42</v>
      </c>
      <c r="D1" s="16" t="s">
        <v>43</v>
      </c>
      <c r="E1" s="16" t="s">
        <v>44</v>
      </c>
      <c r="F1" s="17" t="s">
        <v>45</v>
      </c>
      <c r="H1" t="s">
        <v>1</v>
      </c>
      <c r="I1" t="s">
        <v>64</v>
      </c>
    </row>
    <row r="2" spans="1:16" x14ac:dyDescent="0.25">
      <c r="A2" t="s">
        <v>53</v>
      </c>
      <c r="B2" s="14">
        <f>'Free Cash Flow'!B8</f>
        <v>111263.89189250277</v>
      </c>
      <c r="C2" s="14">
        <f>'Free Cash Flow'!C8</f>
        <v>116726.68424854781</v>
      </c>
      <c r="D2" s="14">
        <f>'Free Cash Flow'!D8</f>
        <v>121887.66930654869</v>
      </c>
      <c r="E2" s="14">
        <f>'Free Cash Flow'!E8</f>
        <v>126785.02453131063</v>
      </c>
      <c r="F2" s="14">
        <f>'Free Cash Flow'!F8</f>
        <v>131245.33202276897</v>
      </c>
      <c r="H2" s="8" t="s">
        <v>26</v>
      </c>
      <c r="I2" s="7">
        <f>Assumptions!G8</f>
        <v>8.7076851541272246E-2</v>
      </c>
      <c r="K2" s="25" t="s">
        <v>69</v>
      </c>
      <c r="L2" s="26"/>
      <c r="M2" s="26"/>
      <c r="N2" s="26"/>
      <c r="O2" s="26"/>
      <c r="P2" s="27"/>
    </row>
    <row r="3" spans="1:16" ht="15.75" thickBot="1" x14ac:dyDescent="0.3">
      <c r="A3" t="s">
        <v>62</v>
      </c>
      <c r="B3">
        <f>1/(1+$B$9)^1</f>
        <v>0.91989816412904613</v>
      </c>
      <c r="C3">
        <f>1/(1+$B$9)^2</f>
        <v>0.84621263236798949</v>
      </c>
      <c r="D3">
        <f>1/(1+$B$9)^3</f>
        <v>0.778429446978121</v>
      </c>
      <c r="E3">
        <f>1/(1+$B$9)^4</f>
        <v>0.71607581917916208</v>
      </c>
      <c r="F3">
        <f>1/(1+$B$9)^5</f>
        <v>0.65871683144011395</v>
      </c>
      <c r="H3" s="5" t="s">
        <v>27</v>
      </c>
      <c r="I3" s="7">
        <f>Assumptions!K9</f>
        <v>2.5000000000000001E-2</v>
      </c>
      <c r="K3" s="28" t="s">
        <v>68</v>
      </c>
      <c r="L3" s="18"/>
      <c r="M3" s="18"/>
      <c r="N3" s="18"/>
      <c r="O3" s="18"/>
      <c r="P3" s="29"/>
    </row>
    <row r="4" spans="1:16" ht="15.75" thickBot="1" x14ac:dyDescent="0.3">
      <c r="A4" t="s">
        <v>63</v>
      </c>
      <c r="B4" s="14">
        <f>B2*B3</f>
        <v>102351.44988576595</v>
      </c>
      <c r="C4" s="14">
        <f t="shared" ref="C4:F4" si="0">C2*C3</f>
        <v>98775.594745550785</v>
      </c>
      <c r="D4" s="14">
        <f t="shared" si="0"/>
        <v>94880.951011748795</v>
      </c>
      <c r="E4" s="14">
        <f t="shared" si="0"/>
        <v>90787.69030090842</v>
      </c>
      <c r="F4" s="14">
        <f t="shared" si="0"/>
        <v>86453.50925134409</v>
      </c>
      <c r="H4" s="8" t="s">
        <v>55</v>
      </c>
      <c r="I4" s="14">
        <f>SUM(B4:F4)+F6</f>
        <v>1900751.4731372246</v>
      </c>
      <c r="K4" s="34">
        <f>I9</f>
        <v>124.4159023219807</v>
      </c>
      <c r="L4" s="37">
        <v>6.7000000000000004E-2</v>
      </c>
      <c r="M4" s="37">
        <v>7.6999999999999999E-2</v>
      </c>
      <c r="N4" s="37">
        <v>8.6999999999999994E-2</v>
      </c>
      <c r="O4" s="37">
        <v>9.7000000000000003E-2</v>
      </c>
      <c r="P4" s="38">
        <v>0.107</v>
      </c>
    </row>
    <row r="5" spans="1:16" x14ac:dyDescent="0.25">
      <c r="A5" t="s">
        <v>65</v>
      </c>
      <c r="F5">
        <f>(F2*(1+$B$10))/($B$9-$B$10)</f>
        <v>2167095.4950718991</v>
      </c>
      <c r="H5" s="5" t="s">
        <v>60</v>
      </c>
      <c r="I5" s="1">
        <f>'Historical Financials'!F12</f>
        <v>35934</v>
      </c>
      <c r="K5" s="35">
        <v>1.4999999999999999E-2</v>
      </c>
      <c r="L5" s="30">
        <f t="dataTable" ref="L5:P9" dt2D="1" dtr="1" r1="B9" r2="B10"/>
        <v>154.97537066884277</v>
      </c>
      <c r="M5" s="30">
        <v>129.04300782002116</v>
      </c>
      <c r="N5" s="30">
        <v>110.32155356329334</v>
      </c>
      <c r="O5" s="30">
        <v>96.172570483323483</v>
      </c>
      <c r="P5" s="31">
        <v>85.104782793099716</v>
      </c>
    </row>
    <row r="6" spans="1:16" x14ac:dyDescent="0.25">
      <c r="A6" t="s">
        <v>54</v>
      </c>
      <c r="F6">
        <f>F5*F3</f>
        <v>1427502.2779419066</v>
      </c>
      <c r="H6" s="8" t="s">
        <v>61</v>
      </c>
      <c r="I6" s="1">
        <f>'Historical Financials'!F8</f>
        <v>98657</v>
      </c>
      <c r="K6" s="35">
        <v>0.02</v>
      </c>
      <c r="L6" s="30">
        <v>168.99765114670691</v>
      </c>
      <c r="M6" s="30">
        <v>138.38518652670231</v>
      </c>
      <c r="N6" s="30">
        <v>116.91711930482697</v>
      </c>
      <c r="O6" s="30">
        <v>101.03044666412322</v>
      </c>
      <c r="P6" s="31">
        <v>88.800340306623326</v>
      </c>
    </row>
    <row r="7" spans="1:16" x14ac:dyDescent="0.25">
      <c r="H7" s="5" t="s">
        <v>56</v>
      </c>
      <c r="I7" s="14">
        <f>I4+I5-I6</f>
        <v>1838028.4731372246</v>
      </c>
      <c r="K7" s="35">
        <v>2.5000000000000001E-2</v>
      </c>
      <c r="L7" s="30">
        <v>186.35856983358627</v>
      </c>
      <c r="M7" s="30">
        <v>149.52393806159137</v>
      </c>
      <c r="N7" s="30">
        <v>124.57648597241436</v>
      </c>
      <c r="O7" s="30">
        <v>106.56302787003402</v>
      </c>
      <c r="P7" s="31">
        <v>92.946575565698566</v>
      </c>
    </row>
    <row r="8" spans="1:16" x14ac:dyDescent="0.25">
      <c r="A8" s="19" t="s">
        <v>1</v>
      </c>
      <c r="B8" s="20" t="s">
        <v>64</v>
      </c>
      <c r="H8" s="8" t="s">
        <v>10</v>
      </c>
      <c r="I8" s="1">
        <f>'Historical Financials'!F11</f>
        <v>14773.26</v>
      </c>
      <c r="K8" s="35">
        <v>0.03</v>
      </c>
      <c r="L8" s="30">
        <v>208.41162870610876</v>
      </c>
      <c r="M8" s="30">
        <v>163.03263673156323</v>
      </c>
      <c r="N8" s="30">
        <v>133.57960117817504</v>
      </c>
      <c r="O8" s="30">
        <v>112.92136746488677</v>
      </c>
      <c r="P8" s="31">
        <v>97.631282936342046</v>
      </c>
    </row>
    <row r="9" spans="1:16" ht="15.75" thickBot="1" x14ac:dyDescent="0.3">
      <c r="A9" s="21" t="s">
        <v>66</v>
      </c>
      <c r="B9" s="22">
        <f>I2</f>
        <v>8.7076851541272246E-2</v>
      </c>
      <c r="H9" s="5" t="s">
        <v>57</v>
      </c>
      <c r="I9" s="10">
        <f>I7/I8</f>
        <v>124.4159023219807</v>
      </c>
      <c r="K9" s="36">
        <v>3.5000000000000003E-2</v>
      </c>
      <c r="L9" s="32">
        <v>237.3562684762945</v>
      </c>
      <c r="M9" s="32">
        <v>179.75769222771885</v>
      </c>
      <c r="N9" s="32">
        <v>144.31408469273583</v>
      </c>
      <c r="O9" s="32">
        <v>120.30524570407057</v>
      </c>
      <c r="P9" s="33">
        <v>102.96664410846375</v>
      </c>
    </row>
    <row r="10" spans="1:16" x14ac:dyDescent="0.25">
      <c r="A10" s="23" t="s">
        <v>67</v>
      </c>
      <c r="B10" s="24">
        <f>I3</f>
        <v>2.5000000000000001E-2</v>
      </c>
      <c r="H10" s="8"/>
    </row>
    <row r="11" spans="1:16" x14ac:dyDescent="0.25">
      <c r="O11" t="s">
        <v>0</v>
      </c>
    </row>
    <row r="15" spans="1:16" x14ac:dyDescent="0.25">
      <c r="D15" s="7"/>
      <c r="E15" s="7"/>
      <c r="F15" s="7"/>
      <c r="G15" s="7"/>
      <c r="H15" s="7"/>
    </row>
    <row r="16" spans="1:16" x14ac:dyDescent="0.25">
      <c r="B16" s="7"/>
      <c r="C16" s="7"/>
    </row>
    <row r="17" spans="2:3" x14ac:dyDescent="0.25">
      <c r="B17" s="7"/>
      <c r="C17" s="7"/>
    </row>
    <row r="18" spans="2:3" x14ac:dyDescent="0.25">
      <c r="B18" s="7"/>
    </row>
    <row r="19" spans="2:3" x14ac:dyDescent="0.25">
      <c r="B19" s="7"/>
    </row>
    <row r="20" spans="2:3" x14ac:dyDescent="0.25">
      <c r="B20" s="7"/>
    </row>
  </sheetData>
  <mergeCells count="2">
    <mergeCell ref="K2:P2"/>
    <mergeCell ref="K3:P3"/>
  </mergeCells>
  <conditionalFormatting sqref="L5:P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360" verticalDpi="36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Historical Financials</vt:lpstr>
      <vt:lpstr>Assumptions</vt:lpstr>
      <vt:lpstr>Revenue Forecast</vt:lpstr>
      <vt:lpstr>Income Statement Forecast</vt:lpstr>
      <vt:lpstr>Free Cash Flow</vt:lpstr>
      <vt:lpstr>DCF Valuation - Sens.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Johnathan G</dc:creator>
  <cp:lastModifiedBy>Johnathan G</cp:lastModifiedBy>
  <dcterms:created xsi:type="dcterms:W3CDTF">2026-05-29T23:54:58Z</dcterms:created>
  <dcterms:modified xsi:type="dcterms:W3CDTF">2026-06-20T15:05:34Z</dcterms:modified>
</cp:coreProperties>
</file>